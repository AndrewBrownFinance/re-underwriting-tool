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ssumptions" sheetId="2" state="visible" r:id="rId4"/>
    <sheet name="Cash Flow Model" sheetId="3" state="visible" r:id="rId5"/>
    <sheet name="Sensitivity" sheetId="4" state="visible" r:id="rId6"/>
    <sheet name="Deal Screen" sheetId="5" state="visible" r:id="rId7"/>
    <sheet name="Investment Mem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<sst xmlns="http://schemas.openxmlformats.org/spreadsheetml/2006/main" count="115" uniqueCount="96">
  <si>
    <t xml:space="preserve">Example Office Building</t>
  </si>
  <si>
    <t xml:space="preserve">Investment Summary  |  prepared with the automated underwriting tool</t>
  </si>
  <si>
    <t xml:space="preserve">THE DEAL</t>
  </si>
  <si>
    <t xml:space="preserve">Purchase Price</t>
  </si>
  <si>
    <t xml:space="preserve">Year 1 NOI</t>
  </si>
  <si>
    <t xml:space="preserve">Going-In Cap Rate</t>
  </si>
  <si>
    <t xml:space="preserve">Hold Period</t>
  </si>
  <si>
    <t xml:space="preserve">Exit Cap Rate</t>
  </si>
  <si>
    <t xml:space="preserve">RETURNS</t>
  </si>
  <si>
    <t xml:space="preserve">Unlevered IRR</t>
  </si>
  <si>
    <t xml:space="preserve">HEADLINE RETURN</t>
  </si>
  <si>
    <t xml:space="preserve">Unlevered Equity Multiple</t>
  </si>
  <si>
    <t xml:space="preserve">Levered IRR</t>
  </si>
  <si>
    <t xml:space="preserve">Levered IRR, 5-year hold</t>
  </si>
  <si>
    <t xml:space="preserve">Levered Equity Multiple</t>
  </si>
  <si>
    <t xml:space="preserve">Year 1 DSCR</t>
  </si>
  <si>
    <t xml:space="preserve">CAPITAL STRUCTURE</t>
  </si>
  <si>
    <t xml:space="preserve">Loan Amount</t>
  </si>
  <si>
    <t xml:space="preserve">Equity Required</t>
  </si>
  <si>
    <t xml:space="preserve">Annual Debt Service</t>
  </si>
  <si>
    <t xml:space="preserve">BASIS &amp; LIMITATIONS</t>
  </si>
  <si>
    <t xml:space="preserve">- NOI grows at a single constant rate; no explicit lease-up, rollover, or capex schedule.</t>
  </si>
  <si>
    <t xml:space="preserve">- Terminal value is a forward-NOI capitalization, net of selling costs.</t>
  </si>
  <si>
    <t xml:space="preserve">- Debt is fixed-rate and fully amortizing; no interest-only period or refinancing.</t>
  </si>
  <si>
    <t xml:space="preserve">- No tax treatment, partnership waterfall, or promote structure.</t>
  </si>
  <si>
    <t xml:space="preserve">- Screening-level analysis. A deal clearing this screen still requires a full property-level model.</t>
  </si>
  <si>
    <t xml:space="preserve">Underwriting assumptions  |  blue cells are inputs - edit these</t>
  </si>
  <si>
    <t xml:space="preserve">PROPERTY &amp; PRICING</t>
  </si>
  <si>
    <t xml:space="preserve">Contract / ask price</t>
  </si>
  <si>
    <t xml:space="preserve">Year 1 Net Operating Income</t>
  </si>
  <si>
    <t xml:space="preserve">In-place NOI from rent roll</t>
  </si>
  <si>
    <t xml:space="preserve">Calculated: Year 1 NOI / Purchase Price</t>
  </si>
  <si>
    <t xml:space="preserve">GROWTH &amp; EXIT</t>
  </si>
  <si>
    <t xml:space="preserve">Annual NOI Growth</t>
  </si>
  <si>
    <t xml:space="preserve">Applied to NOI each year</t>
  </si>
  <si>
    <t xml:space="preserve">Hold Period (Years)</t>
  </si>
  <si>
    <t xml:space="preserve">Years to disposition</t>
  </si>
  <si>
    <t xml:space="preserve">Applied to forward (Year N+1) NOI</t>
  </si>
  <si>
    <t xml:space="preserve">Selling Costs</t>
  </si>
  <si>
    <t xml:space="preserve">Broker fees + closing costs at sale</t>
  </si>
  <si>
    <t xml:space="preserve">Loan to Value (LTV)</t>
  </si>
  <si>
    <t xml:space="preserve">Set to 0% for an all-cash deal</t>
  </si>
  <si>
    <t xml:space="preserve">Interest Rate</t>
  </si>
  <si>
    <t xml:space="preserve">Fixed rate</t>
  </si>
  <si>
    <t xml:space="preserve">Amortization (Years)</t>
  </si>
  <si>
    <t xml:space="preserve">Fully amortizing</t>
  </si>
  <si>
    <t xml:space="preserve">Standard amortizing payment, annualized</t>
  </si>
  <si>
    <t xml:space="preserve">Example Office Building - Cash Flow Model</t>
  </si>
  <si>
    <t xml:space="preserve">All figures calculated live from the Assumptions tab</t>
  </si>
  <si>
    <t xml:space="preserve">At Close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</si>
  <si>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</si>
  <si>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</si>
  <si>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</si>
  <si>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</si>
  <si>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</si>
  <si>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Net Operating Income</t>
  </si>
  <si>
    <t xml:space="preserve">Net Sale Proceeds</t>
  </si>
  <si>
    <t xml:space="preserve">UNLEVERED CASH FLOW</t>
  </si>
  <si>
    <t xml:space="preserve">Debt Service</t>
  </si>
  <si>
    <t xml:space="preserve">Loan Balance Repaid at Exit</t>
  </si>
  <si>
    <t xml:space="preserve">LEVERED CASH FLOW</t>
  </si>
  <si>
    <t xml:space="preserve">Debt Service Coverage Ratio</t>
  </si>
  <si>
    <t xml:space="preserve">Levered IRR Sensitivity</t>
  </si>
  <si>
    <t xml:space="preserve">Purchase price (rows) vs. exit cap rate (columns)</t>
  </si>
  <si>
    <t xml:space="preserve">Price / Exit Cap</t>
  </si>
  <si>
    <t xml:space="preserve">5.50%</t>
  </si>
  <si>
    <t xml:space="preserve">5.88%</t>
  </si>
  <si>
    <t xml:space="preserve">6.25%</t>
  </si>
  <si>
    <t xml:space="preserve">6.62%</t>
  </si>
  <si>
    <t xml:space="preserve">7.00%</t>
  </si>
  <si>
    <t xml:space="preserve">95.0% of ask</t>
  </si>
  <si>
    <t xml:space="preserve">97.5% of ask</t>
  </si>
  <si>
    <t xml:space="preserve">100.0% of ask</t>
  </si>
  <si>
    <t xml:space="preserve">102.5% of ask</t>
  </si>
  <si>
    <t xml:space="preserve">105.0% of ask</t>
  </si>
  <si>
    <t xml:space="preserve">Base case is the center cell. Green indicates higher returns.</t>
  </si>
  <si>
    <t xml:space="preserve">Deal Screen</t>
  </si>
  <si>
    <t xml:space="preserve">All deals underwritten on identical assumptions, ranked by IRR</t>
  </si>
  <si>
    <t xml:space="preserve">Deal</t>
  </si>
  <si>
    <t xml:space="preserve">Going-In Cap</t>
  </si>
  <si>
    <t xml:space="preserve">Exit Cap</t>
  </si>
  <si>
    <t xml:space="preserve">Equity Multiple</t>
  </si>
  <si>
    <t xml:space="preserve">Yr1 DSCR</t>
  </si>
  <si>
    <t xml:space="preserve">Desert Commons</t>
  </si>
  <si>
    <t xml:space="preserve">3990 Ruffin Place</t>
  </si>
  <si>
    <t xml:space="preserve">Top-ranked deal highlighted. Ranking is quantitative only.</t>
  </si>
  <si>
    <t xml:space="preserve">Investment Memorandum</t>
  </si>
  <si>
    <t xml:space="preserve">INVESTMENT MEMORANDUM</t>
  </si>
  <si>
    <t xml:space="preserve">RECOMMENDATION SUMMARY</t>
  </si>
  <si>
    <t xml:space="preserve">Proposed acquisition of Example Office Building at $20,000,000, a 6.00% going-in capitalization rate on Year 1 net operating income of $1,200,000. Base-case underwriting projects a 11.06% levered internal rate of return and a 1.63x equity multiple over a 5-year hold.</t>
  </si>
  <si>
    <t xml:space="preserve">UNDERWRITING ASSUMPTIONS</t>
  </si>
  <si>
    <t xml:space="preserve">Net operating income is grown at 3.00% annually. Disposition is underwritten at a 6.25% exit capitalization rate applied to forward NOI, net of 2.0% selling costs, producing a terminal value of $21,812,901. The capital structure assumes 60% loan-to-value at 5.50% interest on a 30-year amortization schedule, requiring $8,000,000 of equity against a $12,000,000 loan. Year 1 debt service coverage is 1.47x.</t>
  </si>
  <si>
    <t xml:space="preserve">KEY RISKS</t>
  </si>
  <si>
    <t xml:space="preserve">Returns are most sensitive to exit capitalization rate and achieved disposition pricing; refer to the attached sensitivity analysis for IRR outcomes across the pricing and exit-cap range. Principal risks include underperformance against the NOI growth assumption, cap rate expansion at exit, and interest rate exposure at refinancing.</t>
  </si>
  <si>
    <t xml:space="preserve">NEXT STEPS</t>
  </si>
  <si>
    <t xml:space="preserve">Quantitative base case is complete. Qualitative diligence — market comparables, tenant credit and rollover schedule, physical condition assessment, and submarket supply pipeline — remains outstanding prior to a final recommendation.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</si>
</sst>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0%"/>
    <numFmt numFmtId="167" formatCode="0&quot; years&quot;"/>
    <numFmt numFmtId="168" formatCode="0.00\x"/>
    <numFmt numFmtId="169" formatCode="0.0%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6"/>
    <col collapsed="false" customWidth="true" hidden="false" outlineLevel="0" max="5" min="5" style="1" width="2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false" outlineLevel="0" collapsed="false">
      <c r="B5" s="5" t="s">
        <v>3</v>
      </c>
      <c r="C5" s="6" t="n">
        <f aca="false">Assumptions!$C$5</f>
        <v>20000000</v>
      </c>
    </row>
    <row r="6" customFormat="false" ht="15" hidden="false" customHeight="false" outlineLevel="0" collapsed="false">
      <c r="B6" s="5" t="s">
        <v>4</v>
      </c>
      <c r="C6" s="6" t="n">
        <f aca="false">Assumptions!$C$6</f>
        <v>1200000</v>
      </c>
    </row>
    <row r="7" customFormat="false" ht="15" hidden="false" customHeight="false" outlineLevel="0" collapsed="false">
      <c r="B7" s="5" t="s">
        <v>5</v>
      </c>
      <c r="C7" s="7" t="n">
        <f aca="false">Assumptions!$C$7</f>
        <v>0.06</v>
      </c>
    </row>
    <row r="8" customFormat="false" ht="15" hidden="false" customHeight="false" outlineLevel="0" collapsed="false">
      <c r="B8" s="5" t="s">
        <v>6</v>
      </c>
      <c r="C8" s="8" t="n">
        <f aca="false">Assumptions!$C$11</f>
        <v>5</v>
      </c>
    </row>
    <row r="9" customFormat="false" ht="15" hidden="false" customHeight="false" outlineLevel="0" collapsed="false">
      <c r="B9" s="5" t="s">
        <v>7</v>
      </c>
      <c r="C9" s="7" t="n">
        <f aca="false">Assumptions!$C$12</f>
        <v>0.0625</v>
      </c>
    </row>
    <row r="11" customFormat="false" ht="18" hidden="false" customHeight="true" outlineLevel="0" collapsed="false">
      <c r="A11" s="4" t="s">
        <v>8</v>
      </c>
      <c r="B11" s="4"/>
      <c r="C11" s="4"/>
      <c r="D11" s="4"/>
      <c r="E11" s="4"/>
    </row>
    <row r="12" customFormat="false" ht="15" hidden="false" customHeight="false" outlineLevel="0" collapsed="false">
      <c r="B12" s="9" t="s">
        <v>9</v>
      </c>
      <c r="C12" s="10" t="n">
        <f aca="false">'Cash Flow Model'!C20</f>
        <v>0.0789092923867329</v>
      </c>
      <c r="E12" s="9" t="s">
        <v>10</v>
      </c>
    </row>
    <row r="13" customFormat="false" ht="17.35" hidden="false" customHeight="false" outlineLevel="0" collapsed="false">
      <c r="B13" s="9" t="s">
        <v>11</v>
      </c>
      <c r="C13" s="11" t="n">
        <f aca="false">'Cash Flow Model'!C21</f>
        <v>1.40919319770144</v>
      </c>
      <c r="E13" s="12" t="n">
        <f aca="false">'Cash Flow Model'!C22</f>
        <v>0.110574649253969</v>
      </c>
    </row>
    <row r="14" customFormat="false" ht="15" hidden="false" customHeight="false" outlineLevel="0" collapsed="false">
      <c r="B14" s="9" t="s">
        <v>12</v>
      </c>
      <c r="C14" s="10" t="n">
        <f aca="false">'Cash Flow Model'!C22</f>
        <v>0.110574649253969</v>
      </c>
      <c r="E14" s="13" t="s">
        <v>13</v>
      </c>
    </row>
    <row r="15" customFormat="false" ht="15" hidden="false" customHeight="false" outlineLevel="0" collapsed="false">
      <c r="B15" s="9" t="s">
        <v>14</v>
      </c>
      <c r="C15" s="11" t="n">
        <f aca="false">'Cash Flow Model'!C23</f>
        <v>1.62506384062547</v>
      </c>
    </row>
    <row r="16" customFormat="false" ht="15" hidden="false" customHeight="false" outlineLevel="0" collapsed="false">
      <c r="B16" s="9" t="s">
        <v>15</v>
      </c>
      <c r="C16" s="11" t="n">
        <f aca="false">'Cash Flow Model'!D16</f>
        <v>1.46768135937182</v>
      </c>
    </row>
    <row r="18" customFormat="false" ht="18" hidden="false" customHeight="true" outlineLevel="0" collapsed="false">
      <c r="A18" s="4" t="s">
        <v>16</v>
      </c>
      <c r="B18" s="4"/>
      <c r="C18" s="4"/>
      <c r="D18" s="4"/>
      <c r="E18" s="4"/>
    </row>
    <row r="19" customFormat="false" ht="15" hidden="false" customHeight="false" outlineLevel="0" collapsed="false">
      <c r="B19" s="5" t="s">
        <v>17</v>
      </c>
      <c r="C19" s="6" t="n">
        <f aca="false">Assumptions!$C$20</f>
        <v>12000000</v>
      </c>
    </row>
    <row r="20" customFormat="false" ht="15" hidden="false" customHeight="false" outlineLevel="0" collapsed="false">
      <c r="B20" s="5" t="s">
        <v>18</v>
      </c>
      <c r="C20" s="6" t="n">
        <f aca="false">Assumptions!$C$21</f>
        <v>8000000</v>
      </c>
    </row>
    <row r="21" customFormat="false" ht="15" hidden="false" customHeight="false" outlineLevel="0" collapsed="false">
      <c r="B21" s="5" t="s">
        <v>19</v>
      </c>
      <c r="C21" s="6" t="n">
        <f aca="false">Assumptions!$C$22</f>
        <v>817616.161939681</v>
      </c>
    </row>
    <row r="23" customFormat="false" ht="18" hidden="false" customHeight="true" outlineLevel="0" collapsed="false">
      <c r="A23" s="4" t="s">
        <v>20</v>
      </c>
      <c r="B23" s="4"/>
      <c r="C23" s="4"/>
      <c r="D23" s="4"/>
      <c r="E23" s="4"/>
    </row>
    <row r="24" customFormat="false" ht="15" hidden="false" customHeight="false" outlineLevel="0" collapsed="false">
      <c r="B24" s="14" t="s">
        <v>21</v>
      </c>
      <c r="C24" s="14"/>
      <c r="D24" s="14"/>
      <c r="E24" s="14"/>
    </row>
    <row r="25" customFormat="false" ht="15" hidden="false" customHeight="false" outlineLevel="0" collapsed="false">
      <c r="B25" s="14" t="s">
        <v>22</v>
      </c>
      <c r="C25" s="14"/>
      <c r="D25" s="14"/>
      <c r="E25" s="14"/>
    </row>
    <row r="26" customFormat="false" ht="15" hidden="false" customHeight="false" outlineLevel="0" collapsed="false">
      <c r="B26" s="14" t="s">
        <v>23</v>
      </c>
      <c r="C26" s="14"/>
      <c r="D26" s="14"/>
      <c r="E26" s="14"/>
    </row>
    <row r="27" customFormat="false" ht="15" hidden="false" customHeight="false" outlineLevel="0" collapsed="false">
      <c r="B27" s="14" t="s">
        <v>24</v>
      </c>
      <c r="C27" s="14"/>
      <c r="D27" s="14"/>
      <c r="E27" s="14"/>
    </row>
    <row r="28" customFormat="false" ht="15" hidden="false" customHeight="false" outlineLevel="0" collapsed="false">
      <c r="B28" s="14" t="s">
        <v>25</v>
      </c>
      <c r="C28" s="14"/>
      <c r="D28" s="14"/>
      <c r="E28" s="14"/>
    </row>
  </sheetData>
  <mergeCells count="11">
    <mergeCell ref="A1:E1"/>
    <mergeCell ref="A2:E2"/>
    <mergeCell ref="A4:E4"/>
    <mergeCell ref="A11:E11"/>
    <mergeCell ref="A18:E18"/>
    <mergeCell ref="A23:E23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4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26</v>
      </c>
      <c r="B2" s="3"/>
      <c r="C2" s="3"/>
      <c r="D2" s="3"/>
      <c r="E2" s="3"/>
    </row>
    <row r="4" customFormat="false" ht="18" hidden="false" customHeight="true" outlineLevel="0" collapsed="false">
      <c r="A4" s="4" t="s">
        <v>27</v>
      </c>
      <c r="B4" s="4"/>
      <c r="C4" s="4"/>
      <c r="D4" s="4"/>
      <c r="E4" s="4"/>
    </row>
    <row r="5" customFormat="false" ht="15" hidden="false" customHeight="false" outlineLevel="0" collapsed="false">
      <c r="B5" s="5" t="s">
        <v>3</v>
      </c>
      <c r="C5" s="15" t="n">
        <v>20000000</v>
      </c>
      <c r="D5" s="13" t="s">
        <v>28</v>
      </c>
    </row>
    <row r="6" customFormat="false" ht="15" hidden="false" customHeight="false" outlineLevel="0" collapsed="false">
      <c r="B6" s="5" t="s">
        <v>29</v>
      </c>
      <c r="C6" s="15" t="n">
        <v>1200000</v>
      </c>
      <c r="D6" s="13" t="s">
        <v>30</v>
      </c>
    </row>
    <row r="7" customFormat="false" ht="15" hidden="false" customHeight="false" outlineLevel="0" collapsed="false">
      <c r="B7" s="9" t="s">
        <v>5</v>
      </c>
      <c r="C7" s="7" t="n">
        <f aca="false">C6/C5</f>
        <v>0.06</v>
      </c>
      <c r="D7" s="13" t="s">
        <v>31</v>
      </c>
    </row>
    <row r="9" customFormat="false" ht="18" hidden="false" customHeight="true" outlineLevel="0" collapsed="false">
      <c r="A9" s="4" t="s">
        <v>32</v>
      </c>
      <c r="B9" s="4"/>
      <c r="C9" s="4"/>
      <c r="D9" s="4"/>
      <c r="E9" s="4"/>
    </row>
    <row r="10" customFormat="false" ht="15" hidden="false" customHeight="false" outlineLevel="0" collapsed="false">
      <c r="B10" s="5" t="s">
        <v>33</v>
      </c>
      <c r="C10" s="16" t="n">
        <v>0.03</v>
      </c>
      <c r="D10" s="13" t="s">
        <v>34</v>
      </c>
    </row>
    <row r="11" customFormat="false" ht="15" hidden="false" customHeight="false" outlineLevel="0" collapsed="false">
      <c r="B11" s="5" t="s">
        <v>35</v>
      </c>
      <c r="C11" s="17" t="n">
        <v>5</v>
      </c>
      <c r="D11" s="13" t="s">
        <v>36</v>
      </c>
    </row>
    <row r="12" customFormat="false" ht="15" hidden="false" customHeight="false" outlineLevel="0" collapsed="false">
      <c r="B12" s="5" t="s">
        <v>7</v>
      </c>
      <c r="C12" s="18" t="n">
        <v>0.0625</v>
      </c>
      <c r="D12" s="13" t="s">
        <v>37</v>
      </c>
    </row>
    <row r="13" customFormat="false" ht="15" hidden="false" customHeight="false" outlineLevel="0" collapsed="false">
      <c r="B13" s="5" t="s">
        <v>38</v>
      </c>
      <c r="C13" s="16" t="n">
        <v>0.02</v>
      </c>
      <c r="D13" s="13" t="s">
        <v>39</v>
      </c>
    </row>
    <row r="15" customFormat="false" ht="18" hidden="false" customHeight="true" outlineLevel="0" collapsed="false">
      <c r="A15" s="4" t="s">
        <v>16</v>
      </c>
      <c r="B15" s="4"/>
      <c r="C15" s="4"/>
      <c r="D15" s="4"/>
      <c r="E15" s="4"/>
    </row>
    <row r="16" customFormat="false" ht="15" hidden="false" customHeight="false" outlineLevel="0" collapsed="false">
      <c r="B16" s="5" t="s">
        <v>40</v>
      </c>
      <c r="C16" s="16" t="n">
        <v>0.6</v>
      </c>
      <c r="D16" s="13" t="s">
        <v>41</v>
      </c>
    </row>
    <row r="17" customFormat="false" ht="15" hidden="false" customHeight="false" outlineLevel="0" collapsed="false">
      <c r="B17" s="5" t="s">
        <v>42</v>
      </c>
      <c r="C17" s="18" t="n">
        <v>0.055</v>
      </c>
      <c r="D17" s="13" t="s">
        <v>43</v>
      </c>
    </row>
    <row r="18" customFormat="false" ht="15" hidden="false" customHeight="false" outlineLevel="0" collapsed="false">
      <c r="B18" s="5" t="s">
        <v>44</v>
      </c>
      <c r="C18" s="17" t="n">
        <v>30</v>
      </c>
      <c r="D18" s="13" t="s">
        <v>45</v>
      </c>
    </row>
    <row r="20" customFormat="false" ht="15" hidden="false" customHeight="false" outlineLevel="0" collapsed="false">
      <c r="B20" s="9" t="s">
        <v>17</v>
      </c>
      <c r="C20" s="6" t="n">
        <f aca="false">C5*C16</f>
        <v>12000000</v>
      </c>
    </row>
    <row r="21" customFormat="false" ht="15" hidden="false" customHeight="false" outlineLevel="0" collapsed="false">
      <c r="B21" s="9" t="s">
        <v>18</v>
      </c>
      <c r="C21" s="6" t="n">
        <f aca="false">C5-C20</f>
        <v>8000000</v>
      </c>
    </row>
    <row r="22" customFormat="false" ht="15" hidden="false" customHeight="false" outlineLevel="0" collapsed="false">
      <c r="B22" s="9" t="s">
        <v>19</v>
      </c>
      <c r="C22" s="6" t="n">
        <f aca="false">IF(C20=0,0,C20*((C17/12)*(1+C17/12)^(C18*12))/((1+C17/12)^(C18*12)-1)*12)</f>
        <v>817616.161939681</v>
      </c>
      <c r="D22" s="13" t="s">
        <v>46</v>
      </c>
    </row>
  </sheetData>
  <mergeCells count="5">
    <mergeCell ref="A1:E1"/>
    <mergeCell ref="A2:E2"/>
    <mergeCell ref="A4:E4"/>
    <mergeCell ref="A9:E9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8" min="3" style="1" width="15"/>
  </cols>
  <sheetData>
    <row r="1" customFormat="false" ht="27.75" hidden="false" customHeight="true" outlineLevel="0" collapsed="false">
      <c r="A1" s="2" t="s">
        <v>47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48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B4" s="19"/>
      <c r="C4" s="20" t="s">
        <v>49</v>
      </c>
      <c r="D4" s="20" t="s">
        <v>50</v>
      </c>
      <c r="E4" s="20" t="s">
        <v>51</v>
      </c>
      <c r="F4" s="20" t="s">
        <v>52</v>
      </c>
      <c r="G4" s="20" t="s">
        <v>53</v>
      </c>
      <c r="H4" s="20" t="s">
        <v>54</v>
      </c>
    </row>
    <row r="6" customFormat="false" ht="15" hidden="false" customHeight="false" outlineLevel="0" collapsed="false">
      <c r="B6" s="5" t="s">
        <v>55</v>
      </c>
      <c r="D6" s="21" t="n">
        <f aca="false">Assumptions!$C$6</f>
        <v>1200000</v>
      </c>
      <c r="E6" s="21" t="n">
        <f aca="false">D6*(1+Assumptions!$C$10)</f>
        <v>1236000</v>
      </c>
      <c r="F6" s="21" t="n">
        <f aca="false">E6*(1+Assumptions!$C$10)</f>
        <v>1273080</v>
      </c>
      <c r="G6" s="21" t="n">
        <f aca="false">F6*(1+Assumptions!$C$10)</f>
        <v>1311272.4</v>
      </c>
      <c r="H6" s="21" t="n">
        <f aca="false">G6*(1+Assumptions!$C$10)</f>
        <v>1350610.572</v>
      </c>
    </row>
    <row r="7" customFormat="false" ht="15" hidden="false" customHeight="false" outlineLevel="0" collapsed="false">
      <c r="B7" s="5" t="s">
        <v>56</v>
      </c>
      <c r="H7" s="21" t="n">
        <f aca="false">(H6*(1+Assumptions!$C$10))/Assumptions!$C$12*(1-Assumptions!$C$13)</f>
        <v>21812900.9820288</v>
      </c>
    </row>
    <row r="9" customFormat="false" ht="15" hidden="false" customHeight="false" outlineLevel="0" collapsed="false">
      <c r="B9" s="22" t="s">
        <v>57</v>
      </c>
      <c r="C9" s="23" t="n">
        <f aca="false">-Assumptions!$C$5</f>
        <v>-20000000</v>
      </c>
      <c r="D9" s="23" t="n">
        <f aca="false">D6</f>
        <v>1200000</v>
      </c>
      <c r="E9" s="23" t="n">
        <f aca="false">E6</f>
        <v>1236000</v>
      </c>
      <c r="F9" s="23" t="n">
        <f aca="false">F6</f>
        <v>1273080</v>
      </c>
      <c r="G9" s="23" t="n">
        <f aca="false">G6</f>
        <v>1311272.4</v>
      </c>
      <c r="H9" s="23" t="n">
        <f aca="false">H6+H7</f>
        <v>23163511.5540288</v>
      </c>
    </row>
    <row r="11" customFormat="false" ht="15" hidden="false" customHeight="false" outlineLevel="0" collapsed="false">
      <c r="B11" s="5" t="s">
        <v>58</v>
      </c>
      <c r="D11" s="21" t="n">
        <f aca="false">-Assumptions!$C$22</f>
        <v>-817616.161939681</v>
      </c>
      <c r="E11" s="21" t="n">
        <f aca="false">-Assumptions!$C$22</f>
        <v>-817616.161939681</v>
      </c>
      <c r="F11" s="21" t="n">
        <f aca="false">-Assumptions!$C$22</f>
        <v>-817616.161939681</v>
      </c>
      <c r="G11" s="21" t="n">
        <f aca="false">-Assumptions!$C$22</f>
        <v>-817616.161939681</v>
      </c>
      <c r="H11" s="21" t="n">
        <f aca="false">-Assumptions!$C$22</f>
        <v>-817616.161939681</v>
      </c>
    </row>
    <row r="12" customFormat="false" ht="15" hidden="false" customHeight="false" outlineLevel="0" collapsed="false">
      <c r="B12" s="5" t="s">
        <v>59</v>
      </c>
      <c r="H12" s="21" t="n">
        <f aca="false">-(Assumptions!$C$20*(1+Assumptions!$C$17/12)^(Assumptions!$C$11*12)-Assumptions!$C$22/12/(Assumptions!$C$17/12)*((1+Assumptions!$C$17/12)^(Assumptions!$C$11*12)-1))</f>
        <v>-11095272.4193266</v>
      </c>
    </row>
    <row r="14" customFormat="false" ht="15" hidden="false" customHeight="false" outlineLevel="0" collapsed="false">
      <c r="B14" s="22" t="s">
        <v>60</v>
      </c>
      <c r="C14" s="23" t="n">
        <f aca="false">-Assumptions!$C$21</f>
        <v>-8000000</v>
      </c>
      <c r="D14" s="23" t="n">
        <f aca="false">D9+D11</f>
        <v>382383.838060319</v>
      </c>
      <c r="E14" s="23" t="n">
        <f aca="false">E9+E11</f>
        <v>418383.838060319</v>
      </c>
      <c r="F14" s="23" t="n">
        <f aca="false">F9+F11</f>
        <v>455463.838060319</v>
      </c>
      <c r="G14" s="23" t="n">
        <f aca="false">G9+G11</f>
        <v>493656.238060319</v>
      </c>
      <c r="H14" s="23" t="n">
        <f aca="false">H9+H11+H12</f>
        <v>11250622.9727625</v>
      </c>
    </row>
    <row r="16" customFormat="false" ht="15" hidden="false" customHeight="false" outlineLevel="0" collapsed="false">
      <c r="B16" s="5" t="s">
        <v>61</v>
      </c>
      <c r="D16" s="24" t="n">
        <f aca="false">D6/Assumptions!$C$22</f>
        <v>1.46768135937182</v>
      </c>
      <c r="E16" s="24" t="n">
        <f aca="false">E6/Assumptions!$C$22</f>
        <v>1.51171180015297</v>
      </c>
      <c r="F16" s="24" t="n">
        <f aca="false">F6/Assumptions!$C$22</f>
        <v>1.55706315415756</v>
      </c>
      <c r="G16" s="24" t="n">
        <f aca="false">G6/Assumptions!$C$22</f>
        <v>1.60377504878229</v>
      </c>
      <c r="H16" s="24" t="n">
        <f aca="false">H6/Assumptions!$C$22</f>
        <v>1.65188830024576</v>
      </c>
    </row>
    <row r="19" customFormat="false" ht="18" hidden="false" customHeight="true" outlineLevel="0" collapsed="false">
      <c r="A19" s="4" t="s">
        <v>8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B20" s="9" t="s">
        <v>9</v>
      </c>
      <c r="C20" s="25" t="n">
        <f aca="false">IRR(C9:H9)</f>
        <v>0.0789092923867329</v>
      </c>
    </row>
    <row r="21" customFormat="false" ht="15" hidden="false" customHeight="false" outlineLevel="0" collapsed="false">
      <c r="B21" s="9" t="s">
        <v>11</v>
      </c>
      <c r="C21" s="24" t="n">
        <f aca="false">SUM(D9:H9)/-C9</f>
        <v>1.40919319770144</v>
      </c>
    </row>
    <row r="22" customFormat="false" ht="15" hidden="false" customHeight="false" outlineLevel="0" collapsed="false">
      <c r="B22" s="9" t="s">
        <v>12</v>
      </c>
      <c r="C22" s="25" t="n">
        <f aca="false">IRR(C14:H14)</f>
        <v>0.110574649253969</v>
      </c>
    </row>
    <row r="23" customFormat="false" ht="15" hidden="false" customHeight="false" outlineLevel="0" collapsed="false">
      <c r="B23" s="9" t="s">
        <v>14</v>
      </c>
      <c r="C23" s="24" t="n">
        <f aca="false">SUM(D14:H14)/-C14</f>
        <v>1.62506384062547</v>
      </c>
    </row>
  </sheetData>
  <mergeCells count="3">
    <mergeCell ref="A1:H1"/>
    <mergeCell ref="A2:H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7" min="3" style="1" width="14"/>
  </cols>
  <sheetData>
    <row r="1" customFormat="false" ht="27.7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63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B4" s="26" t="s">
        <v>64</v>
      </c>
      <c r="C4" s="20" t="s">
        <v>65</v>
      </c>
      <c r="D4" s="20" t="s">
        <v>66</v>
      </c>
      <c r="E4" s="20" t="s">
        <v>67</v>
      </c>
      <c r="F4" s="20" t="s">
        <v>68</v>
      </c>
      <c r="G4" s="20" t="s">
        <v>69</v>
      </c>
    </row>
    <row r="5" customFormat="false" ht="15" hidden="false" customHeight="false" outlineLevel="0" collapsed="false">
      <c r="B5" s="27" t="s">
        <v>70</v>
      </c>
      <c r="C5" s="28" t="n">
        <v>0.184876279210924</v>
      </c>
      <c r="D5" s="28" t="n">
        <v>0.160752262654252</v>
      </c>
      <c r="E5" s="28" t="n">
        <v>0.13763356277724</v>
      </c>
      <c r="F5" s="28" t="n">
        <v>0.115339169551606</v>
      </c>
      <c r="G5" s="28" t="n">
        <v>0.093712555302263</v>
      </c>
    </row>
    <row r="6" customFormat="false" ht="15" hidden="false" customHeight="false" outlineLevel="0" collapsed="false">
      <c r="B6" s="27" t="s">
        <v>71</v>
      </c>
      <c r="C6" s="28" t="n">
        <v>0.171968137263831</v>
      </c>
      <c r="D6" s="28" t="n">
        <v>0.147500409525848</v>
      </c>
      <c r="E6" s="28" t="n">
        <v>0.124002522305777</v>
      </c>
      <c r="F6" s="28" t="n">
        <v>0.101289743688045</v>
      </c>
      <c r="G6" s="28" t="n">
        <v>0.0792008448505652</v>
      </c>
    </row>
    <row r="7" customFormat="false" ht="15" hidden="false" customHeight="false" outlineLevel="0" collapsed="false">
      <c r="B7" s="27" t="s">
        <v>72</v>
      </c>
      <c r="C7" s="28" t="n">
        <v>0.159300044676409</v>
      </c>
      <c r="D7" s="28" t="n">
        <v>0.134471776878311</v>
      </c>
      <c r="E7" s="28" t="n">
        <v>0.110574649254397</v>
      </c>
      <c r="F7" s="28" t="n">
        <v>0.0874194153705818</v>
      </c>
      <c r="G7" s="28" t="n">
        <v>0.0648391317585221</v>
      </c>
    </row>
    <row r="8" customFormat="false" ht="15" hidden="false" customHeight="false" outlineLevel="0" collapsed="false">
      <c r="B8" s="27" t="s">
        <v>73</v>
      </c>
      <c r="C8" s="28" t="n">
        <v>0.146851269003033</v>
      </c>
      <c r="D8" s="28" t="n">
        <v>0.121644642328646</v>
      </c>
      <c r="E8" s="28" t="n">
        <v>0.0973268511278166</v>
      </c>
      <c r="F8" s="28" t="n">
        <v>0.0737032036673052</v>
      </c>
      <c r="G8" s="28" t="n">
        <v>0.0505998318195344</v>
      </c>
    </row>
    <row r="9" customFormat="false" ht="15" hidden="false" customHeight="false" outlineLevel="0" collapsed="false">
      <c r="B9" s="27" t="s">
        <v>74</v>
      </c>
      <c r="C9" s="28" t="n">
        <v>0.134602421256872</v>
      </c>
      <c r="D9" s="28" t="n">
        <v>0.108998531407061</v>
      </c>
      <c r="E9" s="28" t="n">
        <v>0.0842371381286438</v>
      </c>
      <c r="F9" s="28" t="n">
        <v>0.0601170082111366</v>
      </c>
      <c r="G9" s="28" t="n">
        <v>0.0364558992486288</v>
      </c>
    </row>
    <row r="11" customFormat="false" ht="15" hidden="false" customHeight="false" outlineLevel="0" collapsed="false">
      <c r="B11" s="13" t="s">
        <v>75</v>
      </c>
    </row>
  </sheetData>
  <mergeCells count="2">
    <mergeCell ref="A1:G1"/>
    <mergeCell ref="A2:G2"/>
  </mergeCells>
  <conditionalFormatting sqref="C5:G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9" min="3" style="1" width="16"/>
  </cols>
  <sheetData>
    <row r="1" customFormat="false" ht="27.75" hidden="false" customHeight="true" outlineLevel="0" collapsed="false">
      <c r="A1" s="2" t="s">
        <v>76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77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false" outlineLevel="0" collapsed="false">
      <c r="B4" s="20" t="s">
        <v>78</v>
      </c>
      <c r="C4" s="20" t="s">
        <v>3</v>
      </c>
      <c r="D4" s="20" t="s">
        <v>79</v>
      </c>
      <c r="E4" s="20" t="s">
        <v>80</v>
      </c>
      <c r="F4" s="20" t="s">
        <v>9</v>
      </c>
      <c r="G4" s="20" t="s">
        <v>12</v>
      </c>
      <c r="H4" s="20" t="s">
        <v>81</v>
      </c>
      <c r="I4" s="20" t="s">
        <v>82</v>
      </c>
    </row>
    <row r="5" customFormat="false" ht="15" hidden="false" customHeight="false" outlineLevel="0" collapsed="false">
      <c r="B5" s="29" t="s">
        <v>83</v>
      </c>
      <c r="C5" s="30" t="n">
        <v>14500000</v>
      </c>
      <c r="D5" s="31" t="n">
        <v>0.065</v>
      </c>
      <c r="E5" s="31" t="n">
        <v>0.065</v>
      </c>
      <c r="F5" s="31" t="n">
        <v>0.0893503944133386</v>
      </c>
      <c r="G5" s="31" t="n">
        <v>0.143213471927431</v>
      </c>
      <c r="H5" s="32" t="n">
        <v>1.84681856969813</v>
      </c>
      <c r="I5" s="32" t="n">
        <v>1.46768135937182</v>
      </c>
    </row>
    <row r="6" customFormat="false" ht="15" hidden="false" customHeight="false" outlineLevel="0" collapsed="false">
      <c r="B6" s="33" t="s">
        <v>84</v>
      </c>
      <c r="C6" s="34" t="n">
        <v>31000000</v>
      </c>
      <c r="D6" s="28" t="n">
        <v>0.063</v>
      </c>
      <c r="E6" s="28" t="n">
        <v>0.06</v>
      </c>
      <c r="F6" s="28" t="n">
        <v>0.0985173420709527</v>
      </c>
      <c r="G6" s="28" t="n">
        <v>0.139772291943343</v>
      </c>
      <c r="H6" s="35" t="n">
        <v>2.26156429810713</v>
      </c>
      <c r="I6" s="35" t="n">
        <v>1.68116228437136</v>
      </c>
    </row>
    <row r="7" customFormat="false" ht="15" hidden="false" customHeight="false" outlineLevel="0" collapsed="false">
      <c r="B7" s="33" t="s">
        <v>0</v>
      </c>
      <c r="C7" s="34" t="n">
        <v>20000000</v>
      </c>
      <c r="D7" s="28" t="n">
        <v>0.06</v>
      </c>
      <c r="E7" s="28" t="n">
        <v>0.0625</v>
      </c>
      <c r="F7" s="28" t="n">
        <v>0.0789092923869747</v>
      </c>
      <c r="G7" s="28" t="n">
        <v>0.110574649254397</v>
      </c>
      <c r="H7" s="35" t="n">
        <v>1.62506384062547</v>
      </c>
      <c r="I7" s="35" t="n">
        <v>1.46768135937182</v>
      </c>
    </row>
    <row r="9" customFormat="false" ht="15" hidden="false" customHeight="false" outlineLevel="0" collapsed="false">
      <c r="B9" s="13" t="s">
        <v>85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1" customFormat="false" ht="27.75" hidden="false" customHeight="true" outlineLevel="0" collapsed="false">
      <c r="A1" s="2" t="s">
        <v>86</v>
      </c>
      <c r="B1" s="2"/>
    </row>
    <row r="2" customFormat="false" ht="15" hidden="false" customHeight="false" outlineLevel="0" collapsed="false">
      <c r="A2" s="3" t="s">
        <v>0</v>
      </c>
      <c r="B2" s="3"/>
    </row>
    <row r="4" customFormat="false" ht="15" hidden="false" customHeight="false" outlineLevel="0" collapsed="false">
      <c r="B4" s="36" t="s">
        <v>87</v>
      </c>
    </row>
    <row r="5" customFormat="false" ht="30" hidden="false" customHeight="true" outlineLevel="0" collapsed="false">
      <c r="B5" s="37" t="s">
        <v>0</v>
      </c>
    </row>
    <row r="7" customFormat="false" ht="15" hidden="false" customHeight="false" outlineLevel="0" collapsed="false">
      <c r="B7" s="36" t="s">
        <v>88</v>
      </c>
    </row>
    <row r="8" customFormat="false" ht="39" hidden="false" customHeight="true" outlineLevel="0" collapsed="false">
      <c r="B8" s="37" t="s">
        <v>89</v>
      </c>
    </row>
    <row r="10" customFormat="false" ht="15" hidden="false" customHeight="false" outlineLevel="0" collapsed="false">
      <c r="B10" s="36" t="s">
        <v>90</v>
      </c>
    </row>
    <row r="11" customFormat="false" ht="64.5" hidden="false" customHeight="true" outlineLevel="0" collapsed="false">
      <c r="B11" s="37" t="s">
        <v>91</v>
      </c>
    </row>
    <row r="13" customFormat="false" ht="15" hidden="false" customHeight="false" outlineLevel="0" collapsed="false">
      <c r="B13" s="36" t="s">
        <v>92</v>
      </c>
    </row>
    <row r="14" customFormat="false" ht="51.75" hidden="false" customHeight="true" outlineLevel="0" collapsed="false">
      <c r="B14" s="37" t="s">
        <v>93</v>
      </c>
    </row>
    <row r="16" customFormat="false" ht="15" hidden="false" customHeight="false" outlineLevel="0" collapsed="false">
      <c r="B16" s="36" t="s">
        <v>94</v>
      </c>
    </row>
    <row r="17" customFormat="false" ht="39" hidden="false" customHeight="true" outlineLevel="0" collapsed="false">
      <c r="B17" s="37" t="s">
        <v>95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2026-09-09T22:00:20Z</dcterms:created>
  <dc:creator>openpyxl</dc:creator>
  <dc:description/>
  <dc:language>en-US</dc:language>
  <cp:lastModifiedBy/>
  <dcterms:modified xsi:type="dcterms:W3CDTF">2026-09-09T22:00:20Z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